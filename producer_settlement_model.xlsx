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b43195ea46643e/Documents/Data Analyst 2026/10 Analytics/Portfolio/Excel/Producer Settlement Files/"/>
    </mc:Choice>
  </mc:AlternateContent>
  <xr:revisionPtr revIDLastSave="1" documentId="11_89E10CD7BD8D2F5F11C7CCE0511F4DBC8A212DCB" xr6:coauthVersionLast="47" xr6:coauthVersionMax="47" xr10:uidLastSave="{03B06CC1-D2C4-4234-887E-365F4B8226CD}"/>
  <bookViews>
    <workbookView xWindow="-28920" yWindow="-120" windowWidth="29040" windowHeight="15720" tabRatio="500" xr2:uid="{00000000-000D-0000-FFFF-FFFF00000000}"/>
  </bookViews>
  <sheets>
    <sheet name="Assumptions" sheetId="1" r:id="rId1"/>
    <sheet name="Volume Allocation" sheetId="2" r:id="rId2"/>
    <sheet name="Settlement 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8" i="3" l="1"/>
  <c r="C7" i="3"/>
  <c r="D7" i="3" s="1"/>
  <c r="A7" i="3"/>
  <c r="A6" i="3"/>
  <c r="A5" i="3"/>
  <c r="A2" i="3"/>
  <c r="C9" i="2"/>
  <c r="E8" i="2"/>
  <c r="E9" i="2" s="1"/>
  <c r="F5" i="2" s="1"/>
  <c r="B5" i="3" s="1"/>
  <c r="E5" i="3" s="1"/>
  <c r="E7" i="2"/>
  <c r="E6" i="2"/>
  <c r="C6" i="3" s="1"/>
  <c r="D6" i="3" s="1"/>
  <c r="E5" i="2"/>
  <c r="C5" i="3" s="1"/>
  <c r="D5" i="3" s="1"/>
  <c r="F5" i="3" l="1"/>
  <c r="F7" i="2"/>
  <c r="B7" i="3" s="1"/>
  <c r="E7" i="3" s="1"/>
  <c r="F7" i="3" s="1"/>
  <c r="C8" i="3"/>
  <c r="D8" i="3" s="1"/>
  <c r="F8" i="3" s="1"/>
  <c r="F6" i="2"/>
  <c r="B6" i="3" s="1"/>
  <c r="E6" i="3" s="1"/>
  <c r="E9" i="3" s="1"/>
  <c r="F8" i="2"/>
  <c r="B8" i="3" s="1"/>
  <c r="E8" i="3" s="1"/>
  <c r="F6" i="3" l="1"/>
  <c r="F9" i="3" s="1"/>
  <c r="D9" i="3"/>
</calcChain>
</file>

<file path=xl/sharedStrings.xml><?xml version="1.0" encoding="utf-8"?>
<sst xmlns="http://schemas.openxmlformats.org/spreadsheetml/2006/main" count="46" uniqueCount="43">
  <si>
    <t>Producer Settlement &amp; Equalization Model</t>
  </si>
  <si>
    <t>Sample facility: shared battery, monthly settlement, hypothetical data for portfolio demonstration</t>
  </si>
  <si>
    <t>Legend</t>
  </si>
  <si>
    <t>Blue text = input (edit these)</t>
  </si>
  <si>
    <t>Black text = formula (do not edit)</t>
  </si>
  <si>
    <t>Yellow fill = key assumption</t>
  </si>
  <si>
    <t>Facility Name</t>
  </si>
  <si>
    <t>Wapiti Shared Battery 04-12</t>
  </si>
  <si>
    <t>Settlement Month</t>
  </si>
  <si>
    <t>July 2026</t>
  </si>
  <si>
    <t>Total Facility Operating Cost ($)</t>
  </si>
  <si>
    <t>Sales Price ($ / bbl) — WTI Cushing Spot, Jul 2026 Monthly Avg</t>
  </si>
  <si>
    <t>Source: U.S. EIA, WTI Cushing OK Spot Price, monthly avg, retrieved Aug 2026</t>
  </si>
  <si>
    <t>Facility Shrinkage Rate (%)</t>
  </si>
  <si>
    <t>Data Source Note</t>
  </si>
  <si>
    <t>Sales price is real, publicly sourced market data (see cell C12).</t>
  </si>
  <si>
    <t>Producer names, LSDs, volumes, meter quality factors, operating cost, and shrinkage rate are hypothetical, constructed for demonstration purposes.</t>
  </si>
  <si>
    <t>Volume Allocation &amp; Equalization</t>
  </si>
  <si>
    <t>LSD = Legal Subdivision (Alberta land/well identifier)</t>
  </si>
  <si>
    <t>Producer</t>
  </si>
  <si>
    <t>LSD</t>
  </si>
  <si>
    <t>Metered Volume Delivered (bbl)</t>
  </si>
  <si>
    <t>Meter Quality Factor</t>
  </si>
  <si>
    <t>Equalized Volume (bbl)</t>
  </si>
  <si>
    <t>% of Total Equalized Volume</t>
  </si>
  <si>
    <t>Cardium Resources Ltd.</t>
  </si>
  <si>
    <t>04-12-063-08W6</t>
  </si>
  <si>
    <t>Northgate Energy Corp.</t>
  </si>
  <si>
    <t>09-12-063-08W6</t>
  </si>
  <si>
    <t>Prairie Sky Producers</t>
  </si>
  <si>
    <t>16-12-063-08W6</t>
  </si>
  <si>
    <t>Foothills Oil Partners</t>
  </si>
  <si>
    <t>22-12-063-08W6</t>
  </si>
  <si>
    <t>Total</t>
  </si>
  <si>
    <t>Monthly Settlement Summary</t>
  </si>
  <si>
    <t>Gross Volume Post-Shrinkage (bbl)</t>
  </si>
  <si>
    <t>Gross Revenue ($)</t>
  </si>
  <si>
    <t>Allocated Operating Cost ($)</t>
  </si>
  <si>
    <t>Net Settlement ($)</t>
  </si>
  <si>
    <t>Notes:</t>
  </si>
  <si>
    <t>Equalized volume = metered volume x meter quality factor, adjusting each producer's raw delivered volume for meter calibration variance.</t>
  </si>
  <si>
    <t>Operating cost is allocated pro-rata by each producer's share of total equalized volume, consistent with standard shared-facility cost-allocation practice.</t>
  </si>
  <si>
    <t>Shrinkage rate applied at the facility level before revenue calculation, representing measurement and processing losses.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</si>
</sst>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&quot;($&quot;#,##0\);\-"/>
    <numFmt numFmtId="165" formatCode="0.0%"/>
    <numFmt numFmtId="166" formatCode="#,##0;\(#,##0\);\-"/>
    <numFmt numFmtId="167" formatCode="0.000"/>
  </numFmts>
  <fonts count="11" x14ac:knownFonts="1">
    <font>
      <sz val="11"/>
      <color theme="1"/>
      <name val="Calibri"/>
      <family val="2"/>
      <charset val="1"/>
    </font>
    <font>
      <b/>
      <sz val="14"/>
      <color rgb="FF1F3864"/>
      <name val="Cambria"/>
      <family val="1"/>
    </font>
    <font>
      <i/>
      <sz val="9"/>
      <color rgb="FF666666"/>
      <name val="Cambria"/>
      <family val="1"/>
    </font>
    <font>
      <b/>
      <sz val="11"/>
      <name val="Cambria"/>
      <family val="1"/>
    </font>
    <font>
      <sz val="11"/>
      <color rgb="FF0000FF"/>
      <name val="Cambria"/>
      <family val="1"/>
    </font>
    <font>
      <sz val="11"/>
      <color rgb="FF000000"/>
      <name val="Cambria"/>
      <family val="1"/>
    </font>
    <font>
      <i/>
      <sz val="8"/>
      <color rgb="FF666666"/>
      <name val="Cambria"/>
      <family val="1"/>
    </font>
    <font>
      <sz val="9"/>
      <color rgb="FF1F3864"/>
      <name val="Cambria"/>
      <family val="1"/>
    </font>
    <font>
      <sz val="9"/>
      <color rgb="FF666666"/>
      <name val="Cambria"/>
      <family val="1"/>
    </font>
    <font>
      <b/>
      <sz val="11"/>
      <color rgb="FFFFFFFF"/>
      <name val="Cambria"/>
      <family val="1"/>
    </font>
    <font>
      <i/>
      <sz val="10"/>
      <color rgb="FF444444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  <fill>
      <patternFill patternType="solid">
        <fgColor rgb="FFDCE6F1"/>
        <bgColor rgb="FFD9D9D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164" fontId="4" fillId="2" borderId="0" xfId="0" applyNumberFormat="1" applyFont="1" applyFill="1"/>
    <xf numFmtId="0" fontId="6" fillId="0" borderId="0" xfId="0" applyFont="1"/>
    <xf numFmtId="165" fontId="4" fillId="2" borderId="0" xfId="0" applyNumberFormat="1" applyFont="1" applyFill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166" fontId="0" fillId="0" borderId="1" xfId="0" applyNumberFormat="1" applyBorder="1"/>
    <xf numFmtId="165" fontId="0" fillId="0" borderId="1" xfId="0" applyNumberFormat="1" applyBorder="1"/>
    <xf numFmtId="0" fontId="3" fillId="4" borderId="1" xfId="0" applyFont="1" applyFill="1" applyBorder="1"/>
    <xf numFmtId="0" fontId="0" fillId="4" borderId="1" xfId="0" applyFill="1" applyBorder="1"/>
    <xf numFmtId="166" fontId="3" fillId="4" borderId="1" xfId="0" applyNumberFormat="1" applyFont="1" applyFill="1" applyBorder="1"/>
    <xf numFmtId="0" fontId="10" fillId="0" borderId="0" xfId="0" applyFont="1"/>
    <xf numFmtId="164" fontId="0" fillId="0" borderId="1" xfId="0" applyNumberFormat="1" applyBorder="1"/>
    <xf numFmtId="164" fontId="3" fillId="0" borderId="1" xfId="0" applyNumberFormat="1" applyFont="1" applyBorder="1"/>
    <xf numFmtId="164" fontId="3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78787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Net Settlement by Producer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'Settlement Summary'!$F$4</c:f>
              <c:strCache>
                <c:ptCount val="1"/>
                <c:pt idx="0">
                  <c:v>Net Settlement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'Settlement Summary'!$A$5:$A$8</c:f>
              <c:strCache>
                <c:ptCount val="4"/>
                <c:pt idx="0">
                  <c:v>Cardium Resources Ltd.</c:v>
                </c:pt>
                <c:pt idx="1">
                  <c:v>Northgate Energy Corp.</c:v>
                </c:pt>
                <c:pt idx="2">
                  <c:v>Prairie Sky Producers</c:v>
                </c:pt>
                <c:pt idx="3">
                  <c:v>Foothills Oil Partners</c:v>
                </c:pt>
              </c:strCache>
            </c:strRef>
          </c:cat>
          <c:val>
            <c:numRef>
              <c:f>'Settlement Summary'!$F$5:$F$8</c:f>
              <c:numCache>
                <c:formatCode>\$#,##0;"($"#,##0\);\-</c:formatCode>
                <c:ptCount val="4"/>
                <c:pt idx="0">
                  <c:v>234326.64282801433</c:v>
                </c:pt>
                <c:pt idx="1">
                  <c:v>202464.34216677101</c:v>
                </c:pt>
                <c:pt idx="2">
                  <c:v>145265.11955029162</c:v>
                </c:pt>
                <c:pt idx="3">
                  <c:v>332207.32341812295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C-4C38-AB93-84D008E95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051322"/>
        <c:axId val="53593430"/>
      </c:barChart>
      <c:catAx>
        <c:axId val="380513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593430"/>
        <c:crosses val="autoZero"/>
        <c:auto val="1"/>
        <c:lblAlgn val="ctr"/>
        <c:lblOffset val="100"/>
        <c:noMultiLvlLbl val="0"/>
      </c:catAx>
      <c:valAx>
        <c:axId val="535934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Net Settlement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0513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181800</xdr:rowOff>
    </xdr:from>
    <xdr:to>
      <xdr:col>3</xdr:col>
      <xdr:colOff>825840</xdr:colOff>
      <xdr:row>31</xdr:row>
      <xdr:rowOff>13320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zoomScaleNormal="100" workbookViewId="0"/>
  </sheetViews>
  <sheetFormatPr defaultColWidth="8.7109375" defaultRowHeight="15" x14ac:dyDescent="0.25"/>
  <cols>
    <col min="1" max="2" width="55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</row>
    <row r="5" spans="1:3" x14ac:dyDescent="0.25">
      <c r="A5" s="4" t="s">
        <v>3</v>
      </c>
    </row>
    <row r="6" spans="1:3" x14ac:dyDescent="0.25">
      <c r="A6" s="5" t="s">
        <v>4</v>
      </c>
    </row>
    <row r="7" spans="1:3" x14ac:dyDescent="0.25">
      <c r="A7" s="6" t="s">
        <v>5</v>
      </c>
    </row>
    <row r="9" spans="1:3" x14ac:dyDescent="0.25">
      <c r="A9" s="3" t="s">
        <v>6</v>
      </c>
      <c r="B9" s="4" t="s">
        <v>7</v>
      </c>
    </row>
    <row r="10" spans="1:3" x14ac:dyDescent="0.25">
      <c r="A10" s="3" t="s">
        <v>8</v>
      </c>
      <c r="B10" s="4" t="s">
        <v>9</v>
      </c>
    </row>
    <row r="11" spans="1:3" x14ac:dyDescent="0.25">
      <c r="A11" s="3" t="s">
        <v>10</v>
      </c>
      <c r="B11" s="7">
        <v>42500</v>
      </c>
    </row>
    <row r="12" spans="1:3" x14ac:dyDescent="0.25">
      <c r="A12" s="3" t="s">
        <v>11</v>
      </c>
      <c r="B12" s="7">
        <v>79.709999999999994</v>
      </c>
      <c r="C12" s="8" t="s">
        <v>12</v>
      </c>
    </row>
    <row r="13" spans="1:3" x14ac:dyDescent="0.25">
      <c r="A13" s="3" t="s">
        <v>13</v>
      </c>
      <c r="B13" s="9">
        <v>1.2E-2</v>
      </c>
    </row>
    <row r="16" spans="1:3" x14ac:dyDescent="0.25">
      <c r="A16" s="3" t="s">
        <v>14</v>
      </c>
    </row>
    <row r="17" spans="1:1" x14ac:dyDescent="0.25">
      <c r="A17" s="10" t="s">
        <v>15</v>
      </c>
    </row>
    <row r="18" spans="1:1" x14ac:dyDescent="0.25">
      <c r="A18" s="11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zoomScaleNormal="100" workbookViewId="0"/>
  </sheetViews>
  <sheetFormatPr defaultColWidth="8.7109375" defaultRowHeight="15" x14ac:dyDescent="0.25"/>
  <cols>
    <col min="1" max="1" width="26" customWidth="1"/>
    <col min="2" max="2" width="18" customWidth="1"/>
    <col min="3" max="3" width="26" customWidth="1"/>
    <col min="4" max="4" width="16" customWidth="1"/>
    <col min="5" max="5" width="20" customWidth="1"/>
    <col min="6" max="6" width="22" customWidth="1"/>
  </cols>
  <sheetData>
    <row r="1" spans="1:6" ht="18" x14ac:dyDescent="0.25">
      <c r="A1" s="1" t="s">
        <v>17</v>
      </c>
    </row>
    <row r="2" spans="1:6" x14ac:dyDescent="0.25">
      <c r="A2" s="2" t="s">
        <v>18</v>
      </c>
    </row>
    <row r="4" spans="1:6" ht="28.5" x14ac:dyDescent="0.25">
      <c r="A4" s="12" t="s">
        <v>19</v>
      </c>
      <c r="B4" s="12" t="s">
        <v>20</v>
      </c>
      <c r="C4" s="12" t="s">
        <v>21</v>
      </c>
      <c r="D4" s="12" t="s">
        <v>22</v>
      </c>
      <c r="E4" s="12" t="s">
        <v>23</v>
      </c>
      <c r="F4" s="12" t="s">
        <v>24</v>
      </c>
    </row>
    <row r="5" spans="1:6" x14ac:dyDescent="0.25">
      <c r="A5" s="13" t="s">
        <v>25</v>
      </c>
      <c r="B5" s="13" t="s">
        <v>26</v>
      </c>
      <c r="C5" s="14">
        <v>3120</v>
      </c>
      <c r="D5" s="15">
        <v>0.998</v>
      </c>
      <c r="E5" s="16">
        <f>C5*D5</f>
        <v>3113.76</v>
      </c>
      <c r="F5" s="17">
        <f>E5/$E$9</f>
        <v>0.25630101310083925</v>
      </c>
    </row>
    <row r="6" spans="1:6" x14ac:dyDescent="0.25">
      <c r="A6" s="13" t="s">
        <v>27</v>
      </c>
      <c r="B6" s="13" t="s">
        <v>28</v>
      </c>
      <c r="C6" s="14">
        <v>2685</v>
      </c>
      <c r="D6" s="15">
        <v>1.002</v>
      </c>
      <c r="E6" s="16">
        <f>C6*D6</f>
        <v>2690.37</v>
      </c>
      <c r="F6" s="17">
        <f>E6/$E$9</f>
        <v>0.22145077225479962</v>
      </c>
    </row>
    <row r="7" spans="1:6" x14ac:dyDescent="0.25">
      <c r="A7" s="13" t="s">
        <v>29</v>
      </c>
      <c r="B7" s="13" t="s">
        <v>30</v>
      </c>
      <c r="C7" s="14">
        <v>1940</v>
      </c>
      <c r="D7" s="15">
        <v>0.995</v>
      </c>
      <c r="E7" s="16">
        <f>C7*D7</f>
        <v>1930.3</v>
      </c>
      <c r="F7" s="17">
        <f>E7/$E$9</f>
        <v>0.15888759749902048</v>
      </c>
    </row>
    <row r="8" spans="1:6" x14ac:dyDescent="0.25">
      <c r="A8" s="13" t="s">
        <v>31</v>
      </c>
      <c r="B8" s="13" t="s">
        <v>32</v>
      </c>
      <c r="C8" s="14">
        <v>4410</v>
      </c>
      <c r="D8" s="15">
        <v>1.0009999999999999</v>
      </c>
      <c r="E8" s="16">
        <f>C8*D8</f>
        <v>4414.41</v>
      </c>
      <c r="F8" s="17">
        <f>E8/$E$9</f>
        <v>0.36336061714534063</v>
      </c>
    </row>
    <row r="9" spans="1:6" x14ac:dyDescent="0.25">
      <c r="A9" s="18" t="s">
        <v>33</v>
      </c>
      <c r="B9" s="19"/>
      <c r="C9" s="20">
        <f>SUM(C5:C8)</f>
        <v>12155</v>
      </c>
      <c r="D9" s="19"/>
      <c r="E9" s="20">
        <f>SUM(E5:E8)</f>
        <v>12148.84</v>
      </c>
      <c r="F9" s="1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5"/>
  <sheetViews>
    <sheetView zoomScaleNormal="100" workbookViewId="0"/>
  </sheetViews>
  <sheetFormatPr defaultColWidth="8.7109375" defaultRowHeight="15" x14ac:dyDescent="0.25"/>
  <cols>
    <col min="1" max="1" width="26" customWidth="1"/>
    <col min="2" max="2" width="20" customWidth="1"/>
    <col min="3" max="3" width="24" customWidth="1"/>
    <col min="4" max="4" width="18" customWidth="1"/>
    <col min="5" max="5" width="22" customWidth="1"/>
    <col min="6" max="6" width="18" customWidth="1"/>
  </cols>
  <sheetData>
    <row r="1" spans="1:6" ht="18" x14ac:dyDescent="0.25">
      <c r="A1" s="1" t="s">
        <v>34</v>
      </c>
    </row>
    <row r="2" spans="1:6" x14ac:dyDescent="0.25">
      <c r="A2" s="21" t="str">
        <f>"Facility: "&amp;Assumptions!B9&amp;"   |   Period: "&amp;Assumptions!B10</f>
        <v>Facility: Wapiti Shared Battery 04-12   |   Period: July 2026</v>
      </c>
    </row>
    <row r="4" spans="1:6" ht="28.5" x14ac:dyDescent="0.25">
      <c r="A4" s="12" t="s">
        <v>19</v>
      </c>
      <c r="B4" s="12" t="s">
        <v>24</v>
      </c>
      <c r="C4" s="12" t="s">
        <v>35</v>
      </c>
      <c r="D4" s="12" t="s">
        <v>36</v>
      </c>
      <c r="E4" s="12" t="s">
        <v>37</v>
      </c>
      <c r="F4" s="12" t="s">
        <v>38</v>
      </c>
    </row>
    <row r="5" spans="1:6" x14ac:dyDescent="0.25">
      <c r="A5" s="13" t="str">
        <f>'Volume Allocation'!A5</f>
        <v>Cardium Resources Ltd.</v>
      </c>
      <c r="B5" s="17">
        <f>'Volume Allocation'!F5</f>
        <v>0.25630101310083925</v>
      </c>
      <c r="C5" s="16">
        <f>'Volume Allocation'!E5*(1-Assumptions!$B$13)</f>
        <v>3076.3948800000003</v>
      </c>
      <c r="D5" s="22">
        <f>C5*Assumptions!$B$12</f>
        <v>245219.43588480001</v>
      </c>
      <c r="E5" s="22">
        <f>B5*Assumptions!$B$11</f>
        <v>10892.793056785667</v>
      </c>
      <c r="F5" s="23">
        <f>D5-E5</f>
        <v>234326.64282801433</v>
      </c>
    </row>
    <row r="6" spans="1:6" x14ac:dyDescent="0.25">
      <c r="A6" s="13" t="str">
        <f>'Volume Allocation'!A6</f>
        <v>Northgate Energy Corp.</v>
      </c>
      <c r="B6" s="17">
        <f>'Volume Allocation'!F6</f>
        <v>0.22145077225479962</v>
      </c>
      <c r="C6" s="16">
        <f>'Volume Allocation'!E6*(1-Assumptions!$B$13)</f>
        <v>2658.08556</v>
      </c>
      <c r="D6" s="22">
        <f>C6*Assumptions!$B$12</f>
        <v>211875.99998759999</v>
      </c>
      <c r="E6" s="22">
        <f>B6*Assumptions!$B$11</f>
        <v>9411.6578208289829</v>
      </c>
      <c r="F6" s="23">
        <f>D6-E6</f>
        <v>202464.34216677101</v>
      </c>
    </row>
    <row r="7" spans="1:6" x14ac:dyDescent="0.25">
      <c r="A7" s="13" t="str">
        <f>'Volume Allocation'!A7</f>
        <v>Prairie Sky Producers</v>
      </c>
      <c r="B7" s="17">
        <f>'Volume Allocation'!F7</f>
        <v>0.15888759749902048</v>
      </c>
      <c r="C7" s="16">
        <f>'Volume Allocation'!E7*(1-Assumptions!$B$13)</f>
        <v>1907.1363999999999</v>
      </c>
      <c r="D7" s="22">
        <f>C7*Assumptions!$B$12</f>
        <v>152017.84244399998</v>
      </c>
      <c r="E7" s="22">
        <f>B7*Assumptions!$B$11</f>
        <v>6752.722893708371</v>
      </c>
      <c r="F7" s="23">
        <f>D7-E7</f>
        <v>145265.11955029162</v>
      </c>
    </row>
    <row r="8" spans="1:6" x14ac:dyDescent="0.25">
      <c r="A8" s="13" t="str">
        <f>'Volume Allocation'!A8</f>
        <v>Foothills Oil Partners</v>
      </c>
      <c r="B8" s="17">
        <f>'Volume Allocation'!F8</f>
        <v>0.36336061714534063</v>
      </c>
      <c r="C8" s="16">
        <f>'Volume Allocation'!E8*(1-Assumptions!$B$13)</f>
        <v>4361.4370799999997</v>
      </c>
      <c r="D8" s="22">
        <f>C8*Assumptions!$B$12</f>
        <v>347650.14964679995</v>
      </c>
      <c r="E8" s="22">
        <f>B8*Assumptions!$B$11</f>
        <v>15442.826228676977</v>
      </c>
      <c r="F8" s="23">
        <f>D8-E8</f>
        <v>332207.32341812295</v>
      </c>
    </row>
    <row r="9" spans="1:6" x14ac:dyDescent="0.25">
      <c r="A9" s="18" t="s">
        <v>33</v>
      </c>
      <c r="B9" s="19"/>
      <c r="C9" s="19"/>
      <c r="D9" s="24">
        <f>SUM(D5:D8)</f>
        <v>956763.42796320003</v>
      </c>
      <c r="E9" s="24">
        <f>SUM(E5:E8)</f>
        <v>42500</v>
      </c>
      <c r="F9" s="24">
        <f>SUM(F5:F8)</f>
        <v>914263.42796319991</v>
      </c>
    </row>
    <row r="12" spans="1:6" x14ac:dyDescent="0.25">
      <c r="A12" s="3" t="s">
        <v>39</v>
      </c>
    </row>
    <row r="13" spans="1:6" x14ac:dyDescent="0.25">
      <c r="A13" s="2" t="s">
        <v>40</v>
      </c>
    </row>
    <row r="14" spans="1:6" x14ac:dyDescent="0.25">
      <c r="A14" s="2" t="s">
        <v>41</v>
      </c>
    </row>
    <row r="15" spans="1:6" x14ac:dyDescent="0.25">
      <c r="A15" s="2" t="s">
        <v>42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Volume Allocation</vt:lpstr>
      <vt:lpstr>Settlement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moyosoluwa.yusuf@ucalgary.ca</dc:creator>
  <dc:description/>
  <cp:lastModifiedBy>Mo Yusuf</cp:lastModifiedBy>
  <cp:revision>1</cp:revision>
  <dcterms:created xsi:type="dcterms:W3CDTF">2026-08-19T17:25:08Z</dcterms:created>
  <dcterms:modified xsi:type="dcterms:W3CDTF">2026-08-19T17:50:02Z</dcterms:modified>
  <dc:language>en-US</dc:language>
</cp:coreProperties>
</file>